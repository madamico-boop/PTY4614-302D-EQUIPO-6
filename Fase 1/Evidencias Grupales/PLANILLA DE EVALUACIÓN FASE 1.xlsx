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6\"/>
    </mc:Choice>
  </mc:AlternateContent>
  <bookViews>
    <workbookView xWindow="0" yWindow="0" windowWidth="13890" windowHeight="610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<sst xmlns="http://schemas.openxmlformats.org/spreadsheetml/2006/main" count="157" uniqueCount="98">
  <si>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</si>
  <si>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</si>
  <si>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</si>
  <si>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</si>
  <si>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</si>
  <si>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</si>
  <si>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</si>
  <si>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</si>
  <si>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</si>
  <si>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</si>
  <si>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</si>
  <si>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</si>
  <si>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</si>
  <si>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</si>
  <si>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</si>
  <si>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</si>
  <si>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</si>
  <si>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</si>
  <si>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</si>
  <si>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</si>
  <si>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</si>
  <si>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</si>
  <si>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</si>
  <si>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</si>
  <si>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</si>
  <si>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</si>
  <si>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</si>
  <si>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</si>
  <si>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</si>
  <si>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</si>
  <si>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</si>
  <si>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</si>
  <si>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</si>
  <si>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</si>
  <si>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</si>
  <si>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</si>
  <si>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</si>
  <si>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</si>
  <si>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</si>
  <si>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</si>
  <si>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</si>
  <si>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</si>
  <si>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</si>
  <si>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</si>
  <si>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</si>
  <si>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</si>
  <si>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</si>
  <si>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</si>
  <si>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</si>
  <si>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</si>
  <si>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</si>
  <si>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</si>
  <si>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</si>
  <si>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</si>
  <si>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</si>
  <si>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</si>
  <si>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</si>
  <si>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</si>
  <si>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</si>
  <si>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</si>
  <si>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</si>
  <si>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</si>
  <si>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</si>
  <si>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</si>
  <si>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</si>
  <si>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</si>
  <si>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</si>
  <si>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</si>
  <si>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</si>
  <si>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</si>
  <si>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</si>
  <si>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</si>
  <si>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</si>
  <si>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</si>
  <si>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</si>
  <si>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</si>
  <si>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</si>
  <si>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</si>
  <si>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</si>
  <si>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</si>
  <si>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</si>
  <si>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</si>
  <si>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</si>
  <si>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</si>
  <si>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</si>
  <si>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</si>
  <si>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</si>
  <si>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</si>
  <si>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</si>
  <si>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</si>
  <si>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</si>
  <si>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</si>
  <si>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</si>
  <si>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</si>
  <si>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</si>
  <si>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Matias Byron Damico Damico</t>
  </si>
  <si>
    <t>Misael Ignacio Sepúlveda Rebolledo</t>
  </si>
  <si>
    <t>Cristopher  Reinaldo Silva Silva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</si>
</sst>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topLeftCell="A7" zoomScale="120" zoomScaleNormal="120" workbookViewId="0">
      <selection activeCell="C18" sqref="C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6</v>
      </c>
      <c r="E4" s="43">
        <f>C4*C$2+D4*D$2</f>
        <v>6.0749999999999993</v>
      </c>
      <c r="G4" s="1"/>
    </row>
    <row r="5" spans="1:11" x14ac:dyDescent="0.25">
      <c r="A5" s="5">
        <v>2</v>
      </c>
      <c r="B5" s="32" t="s">
        <v>96</v>
      </c>
      <c r="C5" s="6">
        <f>EVALUACION1!$C$24</f>
        <v>6.1</v>
      </c>
      <c r="D5" s="6">
        <f>C47</f>
        <v>7</v>
      </c>
      <c r="E5" s="43">
        <f t="shared" ref="E5:E6" si="0">C5*C$2+D5*D$2</f>
        <v>6.3249999999999993</v>
      </c>
      <c r="G5" s="1"/>
    </row>
    <row r="6" spans="1:11" x14ac:dyDescent="0.25">
      <c r="A6" s="5">
        <v>3</v>
      </c>
      <c r="B6" s="32" t="s">
        <v>97</v>
      </c>
      <c r="C6" s="6">
        <f>EVALUACION1!$C$24</f>
        <v>6.1</v>
      </c>
      <c r="D6" s="6">
        <f>C58</f>
        <v>6</v>
      </c>
      <c r="E6" s="43">
        <f t="shared" si="0"/>
        <v>6.0749999999999993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Matias Byron Damico Damico</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Misael Ignacio Sepúlveda Rebolledo</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Cristopher  Reinaldo Silva Silva</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8</v>
      </c>
      <c r="D54" s="16" t="str">
        <f t="shared" ref="D54:D55" si="39">IF($C54=CL,"X","")</f>
        <v/>
      </c>
      <c r="E54" s="16" t="str">
        <f>IF(D54="X",100*0.1,"")</f>
        <v/>
      </c>
      <c r="F54" s="16" t="str">
        <f t="shared" ref="F54:F55" si="40">IF($C54=L,"X","")</f>
        <v>X</v>
      </c>
      <c r="G54" s="16">
        <f>IF(F54="X",60*0.1,"")</f>
        <v>6</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2</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2026-09-22T04:37:47Z</dcterms:modified>
  <cp:category/>
  <cp:contentStatus/>
</cp:coreProperties>
</file>